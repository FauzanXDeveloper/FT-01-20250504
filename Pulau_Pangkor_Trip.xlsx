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aafauzan/Downloads/"/>
    </mc:Choice>
  </mc:AlternateContent>
  <xr:revisionPtr revIDLastSave="0" documentId="13_ncr:1_{53019377-A1B8-474C-B2DE-F2659023C2B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shboard" sheetId="1" r:id="rId1"/>
    <sheet name="Tentative" sheetId="2" r:id="rId2"/>
    <sheet name="Logistic" sheetId="3" r:id="rId3"/>
    <sheet name="Finan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H13" i="1"/>
  <c r="F13" i="1"/>
  <c r="D13" i="1"/>
  <c r="C42" i="4"/>
  <c r="C37" i="4"/>
  <c r="C38" i="4"/>
  <c r="C39" i="4"/>
  <c r="C40" i="4"/>
  <c r="C41" i="4"/>
  <c r="C36" i="4"/>
  <c r="C10" i="4" a="1"/>
  <c r="C10" i="4" s="1"/>
  <c r="C33" i="4"/>
  <c r="C9" i="4" s="1"/>
  <c r="C11" i="4" s="1"/>
  <c r="C18" i="4"/>
  <c r="C19" i="4"/>
  <c r="G21" i="1" s="1"/>
  <c r="C17" i="4"/>
  <c r="G19" i="1" s="1"/>
  <c r="C16" i="4"/>
  <c r="G18" i="1" s="1"/>
  <c r="C12" i="4"/>
  <c r="H8" i="1"/>
  <c r="F8" i="1"/>
  <c r="C24" i="4" l="1"/>
  <c r="G20" i="1"/>
  <c r="G2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<sst xmlns="http://schemas.openxmlformats.org/spreadsheetml/2006/main" count="108" uniqueCount="75">
  <si>
    <t>PULAU PANGKOR TRIP</t>
  </si>
  <si>
    <t>PANGKOR
TRIP</t>
  </si>
  <si>
    <t>29 - 31 August 2026  |  3 Days 2 Nights</t>
  </si>
  <si>
    <t>DASHBOARD</t>
  </si>
  <si>
    <t>TRIP DATES</t>
  </si>
  <si>
    <t>NUMBER OF PAX</t>
  </si>
  <si>
    <t>COST / PERSON (RM)</t>
  </si>
  <si>
    <t>STATUS</t>
  </si>
  <si>
    <t>29-31 Aug</t>
  </si>
  <si>
    <t>Planning</t>
  </si>
  <si>
    <t>TENTATIVE</t>
  </si>
  <si>
    <t>FINANCIAL SUMMARY</t>
  </si>
  <si>
    <t>LOGISTIC</t>
  </si>
  <si>
    <t>Total Collected (RM)</t>
  </si>
  <si>
    <t>Total Expenses (RM)</t>
  </si>
  <si>
    <t>Balance (RM)</t>
  </si>
  <si>
    <t>FINANCIAL</t>
  </si>
  <si>
    <t>EXPENSE BREAKDOWN</t>
  </si>
  <si>
    <t>Item</t>
  </si>
  <si>
    <t>Amount (RM)</t>
  </si>
  <si>
    <t>Hotel</t>
  </si>
  <si>
    <t>Oil and Toll</t>
  </si>
  <si>
    <t>Rent a Motor</t>
  </si>
  <si>
    <t>Ticket Ferry</t>
  </si>
  <si>
    <t>Total</t>
  </si>
  <si>
    <t>Pulau Pangkor
Aug 2026</t>
  </si>
  <si>
    <t>← Dashboard</t>
  </si>
  <si>
    <t>TENTATIVE ITINERARY</t>
  </si>
  <si>
    <t>Pulau Pangkor Trip  |  29 - 31 August 2026</t>
  </si>
  <si>
    <t>DAY 1  -  SATURDAY, 29 AUGUST 2026</t>
  </si>
  <si>
    <t>Time</t>
  </si>
  <si>
    <t>Activity</t>
  </si>
  <si>
    <t>Location</t>
  </si>
  <si>
    <t>Notes / PIC</t>
  </si>
  <si>
    <t>DAY 2  -  SUNDAY, 30 AUGUST 2026</t>
  </si>
  <si>
    <t>DAY 3  -  MONDAY, 31 AUGUST 2026</t>
  </si>
  <si>
    <t>Transport, accommodation &amp; packing checklist</t>
  </si>
  <si>
    <t>TRANSPORTATION</t>
  </si>
  <si>
    <t>Details</t>
  </si>
  <si>
    <t>PIC</t>
  </si>
  <si>
    <t>Status</t>
  </si>
  <si>
    <t>Notes</t>
  </si>
  <si>
    <t>ACCOMMODATION</t>
  </si>
  <si>
    <t>Hotel Name</t>
  </si>
  <si>
    <t>Address</t>
  </si>
  <si>
    <t>Check-in</t>
  </si>
  <si>
    <t>Check-out</t>
  </si>
  <si>
    <t>Contact No.</t>
  </si>
  <si>
    <t>PACKING / EQUIPMENT CHECKLIST</t>
  </si>
  <si>
    <t>Qty</t>
  </si>
  <si>
    <t>Assigned To</t>
  </si>
  <si>
    <t>EMERGENCY CONTACTS</t>
  </si>
  <si>
    <t>Name</t>
  </si>
  <si>
    <t>Role</t>
  </si>
  <si>
    <t>Phone</t>
  </si>
  <si>
    <t>CONTRIBUTION</t>
  </si>
  <si>
    <t>Number of Pax</t>
  </si>
  <si>
    <t>Cost per Person (RM)</t>
  </si>
  <si>
    <t>EXPENSES</t>
  </si>
  <si>
    <t>TOTAL EXPENSES</t>
  </si>
  <si>
    <t>IRFAN</t>
  </si>
  <si>
    <t>HARITH</t>
  </si>
  <si>
    <t>SHAD</t>
  </si>
  <si>
    <t>POJI</t>
  </si>
  <si>
    <t>AGA</t>
  </si>
  <si>
    <t>BHRAMA</t>
  </si>
  <si>
    <t>Total Collected</t>
  </si>
  <si>
    <t>Total Actual Collected</t>
  </si>
  <si>
    <t>Balance Need to Collected</t>
  </si>
  <si>
    <t>PAID</t>
  </si>
  <si>
    <t>HALF</t>
  </si>
  <si>
    <t>Balance After Paid</t>
  </si>
  <si>
    <t>BALANCE EACH PERSON NEED TO PAY</t>
  </si>
  <si>
    <t>EACH PERSON PAID</t>
  </si>
  <si>
    <t>Need to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</si>
</sst>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\ #,##0.00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9"/>
      <color rgb="FFAAB4C8"/>
      <name val="Calibri"/>
      <family val="2"/>
    </font>
    <font>
      <b/>
      <sz val="24"/>
      <color rgb="FFFFFFFF"/>
      <name val="Calibri"/>
      <family val="2"/>
    </font>
    <font>
      <sz val="12"/>
      <color rgb="FFFFFFFF"/>
      <name val="Calibri"/>
      <family val="2"/>
    </font>
    <font>
      <b/>
      <sz val="9"/>
      <color rgb="FF6B7280"/>
      <name val="Calibri"/>
      <family val="2"/>
    </font>
    <font>
      <b/>
      <sz val="16"/>
      <color rgb="FF1F2A44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F2A44"/>
      <name val="Calibri"/>
      <family val="2"/>
    </font>
    <font>
      <b/>
      <sz val="18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1F2A44"/>
      <name val="Calibri"/>
      <family val="2"/>
    </font>
    <font>
      <b/>
      <sz val="12"/>
      <color rgb="FF1F2A44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F2A44"/>
      </patternFill>
    </fill>
    <fill>
      <patternFill patternType="solid">
        <fgColor rgb="FF0E7C7B"/>
      </patternFill>
    </fill>
    <fill>
      <patternFill patternType="solid">
        <fgColor rgb="FF2B3B5C"/>
      </patternFill>
    </fill>
    <fill>
      <patternFill patternType="solid">
        <fgColor rgb="FFFFFFFF"/>
      </patternFill>
    </fill>
    <fill>
      <patternFill patternType="solid">
        <fgColor rgb="FF0B5E5D"/>
      </patternFill>
    </fill>
    <fill>
      <patternFill patternType="solid">
        <fgColor rgb="FFF2F4F7"/>
      </patternFill>
    </fill>
    <fill>
      <patternFill patternType="solid">
        <fgColor rgb="FFE8A33D"/>
      </patternFill>
    </fill>
    <fill>
      <patternFill patternType="solid">
        <fgColor rgb="FFFFF6D9"/>
      </patternFill>
    </fill>
    <fill>
      <patternFill patternType="solid">
        <fgColor rgb="FF8E6BAF"/>
      </patternFill>
    </fill>
    <fill>
      <patternFill patternType="solid">
        <fgColor rgb="FF1E8A5F"/>
      </patternFill>
    </fill>
  </fills>
  <borders count="7">
    <border>
      <left/>
      <right/>
      <top/>
      <bottom/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  <border>
      <left/>
      <right style="thin">
        <color rgb="FFD7DCE3"/>
      </right>
      <top style="thin">
        <color rgb="FFD7DCE3"/>
      </top>
      <bottom style="thin">
        <color rgb="FFD7DC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12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center" indent="1"/>
    </xf>
    <xf numFmtId="0" fontId="9" fillId="10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/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9" fillId="6" borderId="1" xfId="0" applyNumberFormat="1" applyFont="1" applyFill="1" applyBorder="1" applyAlignment="1">
      <alignment horizontal="right" vertical="center" indent="1"/>
    </xf>
    <xf numFmtId="0" fontId="0" fillId="6" borderId="0" xfId="0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indent="1"/>
    </xf>
    <xf numFmtId="0" fontId="9" fillId="6" borderId="1" xfId="0" applyFont="1" applyFill="1" applyBorder="1" applyAlignment="1">
      <alignment horizontal="left" vertical="center" indent="1"/>
    </xf>
    <xf numFmtId="0" fontId="4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right" vertical="center" indent="1"/>
    </xf>
    <xf numFmtId="0" fontId="1" fillId="3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left" vertical="center" indent="1"/>
    </xf>
    <xf numFmtId="0" fontId="9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7" fillId="12" borderId="0" xfId="0" applyFont="1" applyFill="1" applyAlignment="1">
      <alignment horizontal="left" vertical="center" inden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C7B"/>
  </sheetPr>
  <dimension ref="A1:K32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G28" sqref="G28"/>
    </sheetView>
  </sheetViews>
  <sheetFormatPr baseColWidth="10" defaultColWidth="8.83203125" defaultRowHeight="15" x14ac:dyDescent="0.2"/>
  <cols>
    <col min="1" max="1" width="3" customWidth="1"/>
    <col min="2" max="2" width="16" customWidth="1"/>
    <col min="3" max="3" width="2" customWidth="1"/>
    <col min="4" max="11" width="11.5" customWidth="1"/>
  </cols>
  <sheetData>
    <row r="1" spans="1:11" ht="8" customHeight="1" x14ac:dyDescent="0.2">
      <c r="A1" s="2"/>
      <c r="B1" s="2"/>
      <c r="D1" s="15"/>
      <c r="E1" s="11"/>
      <c r="F1" s="11"/>
      <c r="G1" s="11"/>
      <c r="H1" s="11"/>
      <c r="I1" s="11"/>
      <c r="J1" s="11"/>
      <c r="K1" s="11"/>
    </row>
    <row r="2" spans="1:11" ht="22" customHeight="1" x14ac:dyDescent="0.2">
      <c r="A2" s="2"/>
      <c r="B2" s="2"/>
      <c r="D2" s="24" t="s">
        <v>0</v>
      </c>
      <c r="E2" s="11"/>
      <c r="F2" s="11"/>
      <c r="G2" s="11"/>
      <c r="H2" s="11"/>
      <c r="I2" s="11"/>
      <c r="J2" s="11"/>
      <c r="K2" s="11"/>
    </row>
    <row r="3" spans="1:11" ht="22" customHeight="1" x14ac:dyDescent="0.2">
      <c r="A3" s="26" t="s">
        <v>1</v>
      </c>
      <c r="B3" s="11"/>
      <c r="D3" s="11"/>
      <c r="E3" s="11"/>
      <c r="F3" s="11"/>
      <c r="G3" s="11"/>
      <c r="H3" s="11"/>
      <c r="I3" s="11"/>
      <c r="J3" s="11"/>
      <c r="K3" s="11"/>
    </row>
    <row r="4" spans="1:11" ht="20" customHeight="1" x14ac:dyDescent="0.2">
      <c r="A4" s="11"/>
      <c r="B4" s="11"/>
      <c r="D4" s="21" t="s">
        <v>2</v>
      </c>
      <c r="E4" s="11"/>
      <c r="F4" s="11"/>
      <c r="G4" s="11"/>
      <c r="H4" s="11"/>
      <c r="I4" s="11"/>
      <c r="J4" s="11"/>
      <c r="K4" s="11"/>
    </row>
    <row r="5" spans="1:11" ht="8" customHeight="1" thickBot="1" x14ac:dyDescent="0.25">
      <c r="A5" s="2"/>
      <c r="B5" s="2"/>
    </row>
    <row r="6" spans="1:11" ht="16" customHeight="1" x14ac:dyDescent="0.2">
      <c r="A6" s="40" t="s">
        <v>3</v>
      </c>
      <c r="B6" s="41"/>
      <c r="D6" s="18" t="s">
        <v>4</v>
      </c>
      <c r="E6" s="13"/>
      <c r="F6" s="18" t="s">
        <v>5</v>
      </c>
      <c r="G6" s="13"/>
      <c r="H6" s="18" t="s">
        <v>6</v>
      </c>
      <c r="I6" s="13"/>
      <c r="J6" s="18" t="s">
        <v>7</v>
      </c>
      <c r="K6" s="13"/>
    </row>
    <row r="7" spans="1:11" ht="16" customHeight="1" thickBot="1" x14ac:dyDescent="0.25">
      <c r="A7" s="42"/>
      <c r="B7" s="43"/>
      <c r="D7" s="13"/>
      <c r="E7" s="13"/>
      <c r="F7" s="13"/>
      <c r="G7" s="13"/>
      <c r="H7" s="13"/>
      <c r="I7" s="13"/>
      <c r="J7" s="13"/>
      <c r="K7" s="13"/>
    </row>
    <row r="8" spans="1:11" ht="22" customHeight="1" thickBot="1" x14ac:dyDescent="0.25">
      <c r="A8" s="2"/>
      <c r="B8" s="2"/>
      <c r="D8" s="12" t="s">
        <v>8</v>
      </c>
      <c r="E8" s="13"/>
      <c r="F8" s="12">
        <f>IFERROR(Financial!C7,"-")</f>
        <v>6</v>
      </c>
      <c r="G8" s="13"/>
      <c r="H8" s="12">
        <f>IFERROR(Financial!C8,"-")</f>
        <v>187</v>
      </c>
      <c r="I8" s="13"/>
      <c r="J8" s="12" t="s">
        <v>9</v>
      </c>
      <c r="K8" s="13"/>
    </row>
    <row r="9" spans="1:11" ht="22" customHeight="1" x14ac:dyDescent="0.2">
      <c r="A9" s="40" t="s">
        <v>10</v>
      </c>
      <c r="B9" s="41"/>
      <c r="D9" s="13"/>
      <c r="E9" s="13"/>
      <c r="F9" s="13"/>
      <c r="G9" s="13"/>
      <c r="H9" s="13"/>
      <c r="I9" s="13"/>
      <c r="J9" s="13"/>
      <c r="K9" s="13"/>
    </row>
    <row r="10" spans="1:11" ht="8" customHeight="1" thickBot="1" x14ac:dyDescent="0.25">
      <c r="A10" s="42"/>
      <c r="B10" s="43"/>
    </row>
    <row r="11" spans="1:11" ht="20" customHeight="1" thickBot="1" x14ac:dyDescent="0.25">
      <c r="A11" s="2"/>
      <c r="B11" s="2"/>
      <c r="D11" s="19" t="s">
        <v>11</v>
      </c>
      <c r="E11" s="11"/>
      <c r="F11" s="11"/>
      <c r="G11" s="11"/>
      <c r="H11" s="11"/>
      <c r="I11" s="11"/>
      <c r="J11" s="11"/>
      <c r="K11" s="11"/>
    </row>
    <row r="12" spans="1:11" ht="16" customHeight="1" x14ac:dyDescent="0.2">
      <c r="A12" s="40" t="s">
        <v>12</v>
      </c>
      <c r="B12" s="41"/>
      <c r="D12" s="18" t="s">
        <v>13</v>
      </c>
      <c r="E12" s="13"/>
      <c r="F12" s="18" t="s">
        <v>14</v>
      </c>
      <c r="G12" s="13"/>
      <c r="H12" s="18" t="s">
        <v>15</v>
      </c>
      <c r="I12" s="13"/>
      <c r="J12" s="18" t="s">
        <v>74</v>
      </c>
      <c r="K12" s="13"/>
    </row>
    <row r="13" spans="1:11" ht="22" customHeight="1" thickBot="1" x14ac:dyDescent="0.25">
      <c r="A13" s="42"/>
      <c r="B13" s="43"/>
      <c r="D13" s="17">
        <f>Financial!C9</f>
        <v>962</v>
      </c>
      <c r="E13" s="13"/>
      <c r="F13" s="17">
        <f>Financial!C24</f>
        <v>1130.04</v>
      </c>
      <c r="G13" s="13"/>
      <c r="H13" s="44">
        <f>Financial!C10</f>
        <v>211.97000000000003</v>
      </c>
      <c r="I13" s="45"/>
      <c r="J13" s="17">
        <f>Financial!C11</f>
        <v>-160</v>
      </c>
      <c r="K13" s="13"/>
    </row>
    <row r="14" spans="1:11" ht="22" customHeight="1" thickBot="1" x14ac:dyDescent="0.25">
      <c r="A14" s="2"/>
      <c r="B14" s="2"/>
      <c r="D14" s="13"/>
      <c r="E14" s="13"/>
      <c r="F14" s="13"/>
      <c r="G14" s="13"/>
      <c r="H14" s="45"/>
      <c r="I14" s="45"/>
      <c r="J14" s="13"/>
      <c r="K14" s="13"/>
    </row>
    <row r="15" spans="1:11" ht="8" customHeight="1" x14ac:dyDescent="0.2">
      <c r="A15" s="40" t="s">
        <v>16</v>
      </c>
      <c r="B15" s="41"/>
    </row>
    <row r="16" spans="1:11" ht="20" customHeight="1" thickBot="1" x14ac:dyDescent="0.25">
      <c r="A16" s="42"/>
      <c r="B16" s="43"/>
      <c r="D16" s="19" t="s">
        <v>17</v>
      </c>
      <c r="E16" s="11"/>
      <c r="F16" s="11"/>
      <c r="G16" s="11"/>
      <c r="H16" s="11"/>
      <c r="I16" s="11"/>
      <c r="J16" s="11"/>
      <c r="K16" s="11"/>
    </row>
    <row r="17" spans="1:11" ht="16" customHeight="1" x14ac:dyDescent="0.2">
      <c r="A17" s="2"/>
      <c r="B17" s="2"/>
      <c r="D17" s="16" t="s">
        <v>18</v>
      </c>
      <c r="E17" s="11"/>
      <c r="F17" s="11"/>
      <c r="G17" s="16" t="s">
        <v>19</v>
      </c>
      <c r="H17" s="11"/>
      <c r="I17" s="11"/>
      <c r="J17" s="11"/>
      <c r="K17" s="11"/>
    </row>
    <row r="18" spans="1:11" ht="16" customHeight="1" x14ac:dyDescent="0.2">
      <c r="A18" s="2"/>
      <c r="B18" s="2"/>
      <c r="D18" s="20" t="s">
        <v>20</v>
      </c>
      <c r="E18" s="13"/>
      <c r="F18" s="13"/>
      <c r="G18" s="14">
        <f>IFERROR(Financial!C16,0)</f>
        <v>415.02</v>
      </c>
      <c r="H18" s="13"/>
      <c r="I18" s="13"/>
      <c r="J18" s="13"/>
      <c r="K18" s="13"/>
    </row>
    <row r="19" spans="1:11" ht="16" customHeight="1" x14ac:dyDescent="0.2">
      <c r="A19" s="2"/>
      <c r="B19" s="2"/>
      <c r="D19" s="20" t="s">
        <v>21</v>
      </c>
      <c r="E19" s="13"/>
      <c r="F19" s="13"/>
      <c r="G19" s="14">
        <f>IFERROR(Financial!C17,0)</f>
        <v>180</v>
      </c>
      <c r="H19" s="13"/>
      <c r="I19" s="13"/>
      <c r="J19" s="13"/>
      <c r="K19" s="13"/>
    </row>
    <row r="20" spans="1:11" ht="16" customHeight="1" x14ac:dyDescent="0.2">
      <c r="A20" s="2"/>
      <c r="B20" s="2"/>
      <c r="D20" s="20" t="s">
        <v>22</v>
      </c>
      <c r="E20" s="13"/>
      <c r="F20" s="13"/>
      <c r="G20" s="14">
        <f>IFERROR(Financial!C18,0)</f>
        <v>400.02</v>
      </c>
      <c r="H20" s="13"/>
      <c r="I20" s="13"/>
      <c r="J20" s="13"/>
      <c r="K20" s="13"/>
    </row>
    <row r="21" spans="1:11" ht="16" customHeight="1" x14ac:dyDescent="0.2">
      <c r="A21" s="2"/>
      <c r="B21" s="2"/>
      <c r="D21" s="20" t="s">
        <v>23</v>
      </c>
      <c r="E21" s="13"/>
      <c r="F21" s="13"/>
      <c r="G21" s="14">
        <f>IFERROR(Financial!C19,0)</f>
        <v>135</v>
      </c>
      <c r="H21" s="13"/>
      <c r="I21" s="13"/>
      <c r="J21" s="13"/>
      <c r="K21" s="13"/>
    </row>
    <row r="22" spans="1:11" ht="16" customHeight="1" x14ac:dyDescent="0.2">
      <c r="A22" s="2"/>
      <c r="B22" s="2"/>
      <c r="D22" s="23" t="s">
        <v>24</v>
      </c>
      <c r="E22" s="11"/>
      <c r="F22" s="11"/>
      <c r="G22" s="25">
        <f>IFERROR(Financial!C24,0)</f>
        <v>1130.04</v>
      </c>
      <c r="H22" s="11"/>
      <c r="I22" s="11"/>
      <c r="J22" s="11"/>
      <c r="K22" s="11"/>
    </row>
    <row r="23" spans="1:11" ht="20" customHeight="1" x14ac:dyDescent="0.2">
      <c r="A23" s="2"/>
      <c r="B23" s="2"/>
    </row>
    <row r="24" spans="1:11" ht="20" customHeight="1" x14ac:dyDescent="0.2">
      <c r="A24" s="2"/>
      <c r="B24" s="2"/>
    </row>
    <row r="25" spans="1:11" ht="20" customHeight="1" x14ac:dyDescent="0.2">
      <c r="A25" s="2"/>
      <c r="B25" s="2"/>
    </row>
    <row r="26" spans="1:11" ht="20" customHeight="1" x14ac:dyDescent="0.2">
      <c r="A26" s="2"/>
      <c r="B26" s="2"/>
    </row>
    <row r="27" spans="1:11" ht="20" customHeight="1" x14ac:dyDescent="0.2">
      <c r="A27" s="2"/>
      <c r="B27" s="2"/>
    </row>
    <row r="28" spans="1:11" ht="20" customHeight="1" x14ac:dyDescent="0.2">
      <c r="A28" s="2"/>
      <c r="B28" s="2"/>
    </row>
    <row r="29" spans="1:11" ht="20" customHeight="1" x14ac:dyDescent="0.2">
      <c r="A29" s="22" t="s">
        <v>25</v>
      </c>
      <c r="B29" s="11"/>
    </row>
    <row r="30" spans="1:11" ht="20" customHeight="1" x14ac:dyDescent="0.2">
      <c r="A30" s="11"/>
      <c r="B30" s="11"/>
    </row>
    <row r="31" spans="1:11" ht="20" customHeight="1" x14ac:dyDescent="0.2">
      <c r="A31" s="11"/>
      <c r="B31" s="11"/>
    </row>
    <row r="32" spans="1:11" ht="20" customHeight="1" x14ac:dyDescent="0.2">
      <c r="A32" s="2"/>
      <c r="B32" s="2"/>
    </row>
  </sheetData>
  <mergeCells count="39">
    <mergeCell ref="A29:B31"/>
    <mergeCell ref="J6:K7"/>
    <mergeCell ref="D22:F22"/>
    <mergeCell ref="A6:B7"/>
    <mergeCell ref="D2:K3"/>
    <mergeCell ref="D21:F21"/>
    <mergeCell ref="G22:K22"/>
    <mergeCell ref="A3:B4"/>
    <mergeCell ref="D13:E14"/>
    <mergeCell ref="D20:F20"/>
    <mergeCell ref="D4:K4"/>
    <mergeCell ref="J13:K14"/>
    <mergeCell ref="D12:E12"/>
    <mergeCell ref="H12:I12"/>
    <mergeCell ref="D19:F19"/>
    <mergeCell ref="J12:K12"/>
    <mergeCell ref="G20:K20"/>
    <mergeCell ref="H6:I7"/>
    <mergeCell ref="G18:K18"/>
    <mergeCell ref="A15:B16"/>
    <mergeCell ref="D16:K16"/>
    <mergeCell ref="D6:E7"/>
    <mergeCell ref="F6:G7"/>
    <mergeCell ref="A12:B13"/>
    <mergeCell ref="F8:G9"/>
    <mergeCell ref="G21:K21"/>
    <mergeCell ref="D1:K1"/>
    <mergeCell ref="D17:F17"/>
    <mergeCell ref="F13:G14"/>
    <mergeCell ref="H13:I14"/>
    <mergeCell ref="G17:K17"/>
    <mergeCell ref="D8:E9"/>
    <mergeCell ref="F12:G12"/>
    <mergeCell ref="D11:K11"/>
    <mergeCell ref="D18:F18"/>
    <mergeCell ref="G19:K19"/>
    <mergeCell ref="H8:I9"/>
    <mergeCell ref="A9:B10"/>
    <mergeCell ref="J8:K9"/>
  </mergeCells>
  <hyperlinks>
    <hyperlink ref="A6" location="'Dashboard'!A1" display="DASHBOARD" xr:uid="{00000000-0004-0000-0000-000000000000}"/>
    <hyperlink ref="A9" location="'Tentative'!A1" display="TENTATIVE" xr:uid="{00000000-0004-0000-0000-000001000000}"/>
    <hyperlink ref="A12" location="'Logistic'!A1" display="LOGISTIC" xr:uid="{00000000-0004-0000-0000-000002000000}"/>
    <hyperlink ref="A15" location="'Financial'!A1" display="FINANCIAL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33D"/>
  </sheetPr>
  <dimension ref="A1:F31"/>
  <sheetViews>
    <sheetView showGridLines="0" workbookViewId="0">
      <pane ySplit="5" topLeftCell="A6" activePane="bottomLeft" state="frozen"/>
      <selection pane="bottomLeft" activeCell="A8" sqref="A8"/>
    </sheetView>
  </sheetViews>
  <sheetFormatPr baseColWidth="10" defaultColWidth="16" defaultRowHeight="15" x14ac:dyDescent="0.2"/>
  <cols>
    <col min="1" max="1" width="16" style="1" customWidth="1"/>
    <col min="2" max="2" width="30" customWidth="1"/>
    <col min="3" max="3" width="22" customWidth="1"/>
    <col min="4" max="4" width="30" customWidth="1"/>
    <col min="5" max="6" width="4" customWidth="1"/>
    <col min="7" max="16384" width="16" style="1"/>
  </cols>
  <sheetData>
    <row r="1" spans="1:4" ht="22" customHeight="1" x14ac:dyDescent="0.2">
      <c r="A1" s="30" t="s">
        <v>26</v>
      </c>
      <c r="B1" s="11"/>
    </row>
    <row r="3" spans="1:4" ht="26" customHeight="1" x14ac:dyDescent="0.2">
      <c r="A3" s="29" t="s">
        <v>27</v>
      </c>
      <c r="B3" s="11"/>
      <c r="C3" s="11"/>
      <c r="D3" s="11"/>
    </row>
    <row r="4" spans="1:4" ht="18" customHeight="1" x14ac:dyDescent="0.2">
      <c r="A4" s="28" t="s">
        <v>28</v>
      </c>
      <c r="B4" s="11"/>
      <c r="C4" s="11"/>
      <c r="D4" s="11"/>
    </row>
    <row r="5" spans="1:4" ht="6" customHeight="1" x14ac:dyDescent="0.2"/>
    <row r="6" spans="1:4" ht="20" customHeight="1" x14ac:dyDescent="0.2">
      <c r="A6" s="27" t="s">
        <v>29</v>
      </c>
      <c r="B6" s="11"/>
      <c r="C6" s="11"/>
      <c r="D6" s="11"/>
    </row>
    <row r="7" spans="1:4" ht="16" customHeight="1" x14ac:dyDescent="0.2">
      <c r="A7" s="3" t="s">
        <v>30</v>
      </c>
      <c r="B7" s="3" t="s">
        <v>31</v>
      </c>
      <c r="C7" s="3" t="s">
        <v>32</v>
      </c>
      <c r="D7" s="3" t="s">
        <v>33</v>
      </c>
    </row>
    <row r="8" spans="1:4" ht="26" customHeight="1" x14ac:dyDescent="0.2">
      <c r="A8" s="4"/>
      <c r="B8" s="4"/>
      <c r="C8" s="4"/>
      <c r="D8" s="4"/>
    </row>
    <row r="9" spans="1:4" ht="26" customHeight="1" x14ac:dyDescent="0.2">
      <c r="A9" s="4"/>
      <c r="B9" s="4"/>
      <c r="C9" s="4"/>
      <c r="D9" s="4"/>
    </row>
    <row r="10" spans="1:4" ht="26" customHeight="1" x14ac:dyDescent="0.2">
      <c r="A10" s="4"/>
      <c r="B10" s="4"/>
      <c r="C10" s="4"/>
      <c r="D10" s="4"/>
    </row>
    <row r="11" spans="1:4" ht="26" customHeight="1" x14ac:dyDescent="0.2">
      <c r="A11" s="4"/>
      <c r="B11" s="4"/>
      <c r="C11" s="4"/>
      <c r="D11" s="4"/>
    </row>
    <row r="12" spans="1:4" ht="26" customHeight="1" x14ac:dyDescent="0.2">
      <c r="A12" s="4"/>
      <c r="B12" s="4"/>
      <c r="C12" s="4"/>
      <c r="D12" s="4"/>
    </row>
    <row r="13" spans="1:4" ht="26" customHeight="1" x14ac:dyDescent="0.2">
      <c r="A13" s="4"/>
      <c r="B13" s="4"/>
      <c r="C13" s="4"/>
      <c r="D13" s="4"/>
    </row>
    <row r="15" spans="1:4" ht="20" customHeight="1" x14ac:dyDescent="0.2">
      <c r="A15" s="27" t="s">
        <v>34</v>
      </c>
      <c r="B15" s="11"/>
      <c r="C15" s="11"/>
      <c r="D15" s="11"/>
    </row>
    <row r="16" spans="1:4" ht="16" customHeight="1" x14ac:dyDescent="0.2">
      <c r="A16" s="3" t="s">
        <v>30</v>
      </c>
      <c r="B16" s="3" t="s">
        <v>31</v>
      </c>
      <c r="C16" s="3" t="s">
        <v>32</v>
      </c>
      <c r="D16" s="3" t="s">
        <v>33</v>
      </c>
    </row>
    <row r="17" spans="1:4" ht="26" customHeight="1" x14ac:dyDescent="0.2">
      <c r="A17" s="4"/>
      <c r="B17" s="4"/>
      <c r="C17" s="4"/>
      <c r="D17" s="4"/>
    </row>
    <row r="18" spans="1:4" ht="26" customHeight="1" x14ac:dyDescent="0.2">
      <c r="A18" s="4"/>
      <c r="B18" s="4"/>
      <c r="C18" s="4"/>
      <c r="D18" s="4"/>
    </row>
    <row r="19" spans="1:4" ht="26" customHeight="1" x14ac:dyDescent="0.2">
      <c r="A19" s="4"/>
      <c r="B19" s="4"/>
      <c r="C19" s="4"/>
      <c r="D19" s="4"/>
    </row>
    <row r="20" spans="1:4" ht="26" customHeight="1" x14ac:dyDescent="0.2">
      <c r="A20" s="4"/>
      <c r="B20" s="4"/>
      <c r="C20" s="4"/>
      <c r="D20" s="4"/>
    </row>
    <row r="21" spans="1:4" ht="26" customHeight="1" x14ac:dyDescent="0.2">
      <c r="A21" s="4"/>
      <c r="B21" s="4"/>
      <c r="C21" s="4"/>
      <c r="D21" s="4"/>
    </row>
    <row r="22" spans="1:4" ht="26" customHeight="1" x14ac:dyDescent="0.2">
      <c r="A22" s="4"/>
      <c r="B22" s="4"/>
      <c r="C22" s="4"/>
      <c r="D22" s="4"/>
    </row>
    <row r="24" spans="1:4" ht="20" customHeight="1" x14ac:dyDescent="0.2">
      <c r="A24" s="27" t="s">
        <v>35</v>
      </c>
      <c r="B24" s="11"/>
      <c r="C24" s="11"/>
      <c r="D24" s="11"/>
    </row>
    <row r="25" spans="1:4" ht="16" customHeight="1" x14ac:dyDescent="0.2">
      <c r="A25" s="3" t="s">
        <v>30</v>
      </c>
      <c r="B25" s="3" t="s">
        <v>31</v>
      </c>
      <c r="C25" s="3" t="s">
        <v>32</v>
      </c>
      <c r="D25" s="3" t="s">
        <v>33</v>
      </c>
    </row>
    <row r="26" spans="1:4" ht="26" customHeight="1" x14ac:dyDescent="0.2">
      <c r="A26" s="4"/>
      <c r="B26" s="4"/>
      <c r="C26" s="4"/>
      <c r="D26" s="4"/>
    </row>
    <row r="27" spans="1:4" ht="26" customHeight="1" x14ac:dyDescent="0.2">
      <c r="A27" s="4"/>
      <c r="B27" s="4"/>
      <c r="C27" s="4"/>
      <c r="D27" s="4"/>
    </row>
    <row r="28" spans="1:4" ht="26" customHeight="1" x14ac:dyDescent="0.2">
      <c r="A28" s="4"/>
      <c r="B28" s="4"/>
      <c r="C28" s="4"/>
      <c r="D28" s="4"/>
    </row>
    <row r="29" spans="1:4" ht="26" customHeight="1" x14ac:dyDescent="0.2">
      <c r="A29" s="4"/>
      <c r="B29" s="4"/>
      <c r="C29" s="4"/>
      <c r="D29" s="4"/>
    </row>
    <row r="30" spans="1:4" ht="26" customHeight="1" x14ac:dyDescent="0.2">
      <c r="A30" s="4"/>
      <c r="B30" s="4"/>
      <c r="C30" s="4"/>
      <c r="D30" s="4"/>
    </row>
    <row r="31" spans="1:4" ht="26" customHeight="1" x14ac:dyDescent="0.2">
      <c r="A31" s="4"/>
      <c r="B31" s="4"/>
      <c r="C31" s="4"/>
      <c r="D31" s="4"/>
    </row>
  </sheetData>
  <mergeCells count="6">
    <mergeCell ref="A1:B1"/>
    <mergeCell ref="A6:D6"/>
    <mergeCell ref="A4:D4"/>
    <mergeCell ref="A3:D3"/>
    <mergeCell ref="A15:D15"/>
    <mergeCell ref="A24:D24"/>
  </mergeCells>
  <hyperlinks>
    <hyperlink ref="A1" location="'Dashboard'!A1" display="← Dashboard" xr:uid="{00000000-0004-0000-0100-000000000000}"/>
  </hyperlinks>
  <pageMargins left="0.7" right="0.7" top="0.75" bottom="0.75" header="0.3" footer="0.3"/>
  <headerFooter>
    <oddFooter>&amp;C&amp;"Aptos"&amp;10 &amp;K008000_x000D_#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6BAF"/>
  </sheetPr>
  <dimension ref="A1:E35"/>
  <sheetViews>
    <sheetView showGridLines="0" workbookViewId="0">
      <pane ySplit="5" topLeftCell="A6" activePane="bottomLeft" state="frozen"/>
      <selection pane="bottomLeft" activeCell="F24" sqref="F24"/>
    </sheetView>
  </sheetViews>
  <sheetFormatPr baseColWidth="10" defaultRowHeight="15" x14ac:dyDescent="0.2"/>
  <cols>
    <col min="1" max="2" width="26" customWidth="1"/>
    <col min="3" max="3" width="18" customWidth="1"/>
    <col min="4" max="4" width="16" customWidth="1"/>
    <col min="5" max="5" width="26" customWidth="1"/>
  </cols>
  <sheetData>
    <row r="1" spans="1:5" ht="22" customHeight="1" x14ac:dyDescent="0.2">
      <c r="A1" s="30" t="s">
        <v>26</v>
      </c>
      <c r="B1" s="11"/>
    </row>
    <row r="3" spans="1:5" ht="26" customHeight="1" x14ac:dyDescent="0.2">
      <c r="A3" s="29" t="s">
        <v>12</v>
      </c>
      <c r="B3" s="11"/>
      <c r="C3" s="11"/>
      <c r="D3" s="11"/>
      <c r="E3" s="11"/>
    </row>
    <row r="4" spans="1:5" ht="18" customHeight="1" x14ac:dyDescent="0.2">
      <c r="A4" s="28" t="s">
        <v>36</v>
      </c>
      <c r="B4" s="11"/>
      <c r="C4" s="11"/>
      <c r="D4" s="11"/>
      <c r="E4" s="11"/>
    </row>
    <row r="5" spans="1:5" ht="6" customHeight="1" x14ac:dyDescent="0.2"/>
    <row r="6" spans="1:5" ht="20" customHeight="1" x14ac:dyDescent="0.2">
      <c r="A6" s="31" t="s">
        <v>37</v>
      </c>
      <c r="B6" s="11"/>
      <c r="C6" s="11"/>
      <c r="D6" s="11"/>
      <c r="E6" s="11"/>
    </row>
    <row r="7" spans="1:5" ht="16" customHeight="1" x14ac:dyDescent="0.2">
      <c r="A7" s="3" t="s">
        <v>18</v>
      </c>
      <c r="B7" s="3" t="s">
        <v>38</v>
      </c>
      <c r="C7" s="3" t="s">
        <v>39</v>
      </c>
      <c r="D7" s="3" t="s">
        <v>40</v>
      </c>
      <c r="E7" s="3" t="s">
        <v>41</v>
      </c>
    </row>
    <row r="8" spans="1:5" ht="22" customHeight="1" x14ac:dyDescent="0.2">
      <c r="A8" s="4"/>
      <c r="B8" s="4"/>
      <c r="C8" s="4"/>
      <c r="D8" s="4"/>
      <c r="E8" s="4"/>
    </row>
    <row r="9" spans="1:5" ht="22" customHeight="1" x14ac:dyDescent="0.2">
      <c r="A9" s="4"/>
      <c r="B9" s="4"/>
      <c r="C9" s="4"/>
      <c r="D9" s="4"/>
      <c r="E9" s="4"/>
    </row>
    <row r="10" spans="1:5" ht="22" customHeight="1" x14ac:dyDescent="0.2">
      <c r="A10" s="4"/>
      <c r="B10" s="4"/>
      <c r="C10" s="4"/>
      <c r="D10" s="4"/>
      <c r="E10" s="4"/>
    </row>
    <row r="11" spans="1:5" ht="22" customHeight="1" x14ac:dyDescent="0.2">
      <c r="A11" s="4"/>
      <c r="B11" s="4"/>
      <c r="C11" s="4"/>
      <c r="D11" s="4"/>
      <c r="E11" s="4"/>
    </row>
    <row r="12" spans="1:5" ht="22" customHeight="1" x14ac:dyDescent="0.2">
      <c r="A12" s="4"/>
      <c r="B12" s="4"/>
      <c r="C12" s="4"/>
      <c r="D12" s="4"/>
      <c r="E12" s="4"/>
    </row>
    <row r="14" spans="1:5" ht="20" customHeight="1" x14ac:dyDescent="0.2">
      <c r="A14" s="31" t="s">
        <v>42</v>
      </c>
      <c r="B14" s="11"/>
      <c r="C14" s="11"/>
      <c r="D14" s="11"/>
      <c r="E14" s="11"/>
    </row>
    <row r="15" spans="1:5" ht="18" customHeight="1" x14ac:dyDescent="0.2">
      <c r="A15" s="5" t="s">
        <v>43</v>
      </c>
      <c r="B15" s="32"/>
      <c r="C15" s="11"/>
      <c r="D15" s="11"/>
      <c r="E15" s="11"/>
    </row>
    <row r="16" spans="1:5" ht="18" customHeight="1" x14ac:dyDescent="0.2">
      <c r="A16" s="5" t="s">
        <v>44</v>
      </c>
      <c r="B16" s="32"/>
      <c r="C16" s="11"/>
      <c r="D16" s="11"/>
      <c r="E16" s="11"/>
    </row>
    <row r="17" spans="1:5" ht="18" customHeight="1" x14ac:dyDescent="0.2">
      <c r="A17" s="5" t="s">
        <v>45</v>
      </c>
      <c r="B17" s="32"/>
      <c r="C17" s="11"/>
      <c r="D17" s="11"/>
      <c r="E17" s="11"/>
    </row>
    <row r="18" spans="1:5" ht="18" customHeight="1" x14ac:dyDescent="0.2">
      <c r="A18" s="5" t="s">
        <v>46</v>
      </c>
      <c r="B18" s="32"/>
      <c r="C18" s="11"/>
      <c r="D18" s="11"/>
      <c r="E18" s="11"/>
    </row>
    <row r="19" spans="1:5" ht="18" customHeight="1" x14ac:dyDescent="0.2">
      <c r="A19" s="5" t="s">
        <v>47</v>
      </c>
      <c r="B19" s="32"/>
      <c r="C19" s="11"/>
      <c r="D19" s="11"/>
      <c r="E19" s="11"/>
    </row>
    <row r="21" spans="1:5" ht="20" customHeight="1" x14ac:dyDescent="0.2">
      <c r="A21" s="31" t="s">
        <v>48</v>
      </c>
      <c r="B21" s="11"/>
      <c r="C21" s="11"/>
      <c r="D21" s="11"/>
      <c r="E21" s="11"/>
    </row>
    <row r="22" spans="1:5" ht="16" customHeight="1" x14ac:dyDescent="0.2">
      <c r="A22" s="3" t="s">
        <v>18</v>
      </c>
      <c r="B22" s="3" t="s">
        <v>49</v>
      </c>
      <c r="C22" s="3" t="s">
        <v>50</v>
      </c>
      <c r="D22" s="3" t="s">
        <v>40</v>
      </c>
      <c r="E22" s="3" t="s">
        <v>41</v>
      </c>
    </row>
    <row r="23" spans="1:5" ht="20" customHeight="1" x14ac:dyDescent="0.2">
      <c r="A23" s="4"/>
      <c r="B23" s="4"/>
      <c r="C23" s="4"/>
      <c r="D23" s="4"/>
      <c r="E23" s="4"/>
    </row>
    <row r="24" spans="1:5" ht="20" customHeight="1" x14ac:dyDescent="0.2">
      <c r="A24" s="4"/>
      <c r="B24" s="4"/>
      <c r="C24" s="4"/>
      <c r="D24" s="4"/>
      <c r="E24" s="4"/>
    </row>
    <row r="25" spans="1:5" ht="20" customHeight="1" x14ac:dyDescent="0.2">
      <c r="A25" s="4"/>
      <c r="B25" s="4"/>
      <c r="C25" s="4"/>
      <c r="D25" s="4"/>
      <c r="E25" s="4"/>
    </row>
    <row r="26" spans="1:5" ht="20" customHeight="1" x14ac:dyDescent="0.2">
      <c r="A26" s="4"/>
      <c r="B26" s="4"/>
      <c r="C26" s="4"/>
      <c r="D26" s="4"/>
      <c r="E26" s="4"/>
    </row>
    <row r="27" spans="1:5" ht="20" customHeight="1" x14ac:dyDescent="0.2">
      <c r="A27" s="4"/>
      <c r="B27" s="4"/>
      <c r="C27" s="4"/>
      <c r="D27" s="4"/>
      <c r="E27" s="4"/>
    </row>
    <row r="28" spans="1:5" ht="20" customHeight="1" x14ac:dyDescent="0.2">
      <c r="A28" s="4"/>
      <c r="B28" s="4"/>
      <c r="C28" s="4"/>
      <c r="D28" s="4"/>
      <c r="E28" s="4"/>
    </row>
    <row r="30" spans="1:5" ht="20" customHeight="1" x14ac:dyDescent="0.2">
      <c r="A30" s="31" t="s">
        <v>51</v>
      </c>
      <c r="B30" s="11"/>
      <c r="C30" s="11"/>
      <c r="D30" s="11"/>
      <c r="E30" s="11"/>
    </row>
    <row r="31" spans="1:5" ht="16" customHeight="1" x14ac:dyDescent="0.2">
      <c r="A31" s="3" t="s">
        <v>52</v>
      </c>
      <c r="B31" s="3" t="s">
        <v>53</v>
      </c>
      <c r="C31" s="3" t="s">
        <v>54</v>
      </c>
      <c r="D31" s="7"/>
      <c r="E31" s="7"/>
    </row>
    <row r="32" spans="1:5" ht="18" customHeight="1" x14ac:dyDescent="0.2">
      <c r="A32" s="4"/>
      <c r="B32" s="4"/>
      <c r="C32" s="4"/>
      <c r="D32" s="4"/>
      <c r="E32" s="4"/>
    </row>
    <row r="33" spans="1:5" ht="18" customHeight="1" x14ac:dyDescent="0.2">
      <c r="A33" s="4"/>
      <c r="B33" s="4"/>
      <c r="C33" s="4"/>
      <c r="D33" s="4"/>
      <c r="E33" s="4"/>
    </row>
    <row r="34" spans="1:5" ht="18" customHeight="1" x14ac:dyDescent="0.2">
      <c r="A34" s="4"/>
      <c r="B34" s="4"/>
      <c r="C34" s="4"/>
      <c r="D34" s="4"/>
      <c r="E34" s="4"/>
    </row>
    <row r="35" spans="1:5" ht="18" customHeight="1" x14ac:dyDescent="0.2">
      <c r="A35" s="4"/>
      <c r="B35" s="4"/>
      <c r="C35" s="4"/>
      <c r="D35" s="4"/>
      <c r="E35" s="4"/>
    </row>
  </sheetData>
  <mergeCells count="12">
    <mergeCell ref="A1:B1"/>
    <mergeCell ref="A14:E14"/>
    <mergeCell ref="B19:E19"/>
    <mergeCell ref="A6:E6"/>
    <mergeCell ref="A3:E3"/>
    <mergeCell ref="A21:E21"/>
    <mergeCell ref="A30:E30"/>
    <mergeCell ref="B17:E17"/>
    <mergeCell ref="B18:E18"/>
    <mergeCell ref="A4:E4"/>
    <mergeCell ref="B16:E16"/>
    <mergeCell ref="B15:E15"/>
  </mergeCells>
  <hyperlinks>
    <hyperlink ref="A1" location="'Dashboard'!A1" display="← Dashboard" xr:uid="{00000000-0004-0000-0200-000000000000}"/>
  </hyperlinks>
  <pageMargins left="0.7" right="0.7" top="0.75" bottom="0.75" header="0.3" footer="0.3"/>
  <headerFooter>
    <oddFooter>&amp;C&amp;"Aptos"&amp;10 &amp;K008000_x000D_#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A5F"/>
  </sheetPr>
  <dimension ref="A1:D42"/>
  <sheetViews>
    <sheetView showGridLines="0" workbookViewId="0">
      <pane ySplit="5" topLeftCell="A6" activePane="bottomLeft" state="frozen"/>
      <selection pane="bottomLeft" activeCell="D36" sqref="D36"/>
    </sheetView>
  </sheetViews>
  <sheetFormatPr baseColWidth="10" defaultRowHeight="15" x14ac:dyDescent="0.2"/>
  <cols>
    <col min="1" max="1" width="26" customWidth="1"/>
    <col min="2" max="2" width="4" customWidth="1"/>
    <col min="3" max="3" width="20" customWidth="1"/>
    <col min="4" max="4" width="26" customWidth="1"/>
  </cols>
  <sheetData>
    <row r="1" spans="1:4" ht="22" customHeight="1" x14ac:dyDescent="0.2">
      <c r="A1" s="30" t="s">
        <v>26</v>
      </c>
      <c r="B1" s="11"/>
      <c r="C1" s="11"/>
    </row>
    <row r="3" spans="1:4" ht="26" customHeight="1" x14ac:dyDescent="0.2">
      <c r="A3" s="29" t="s">
        <v>16</v>
      </c>
      <c r="B3" s="11"/>
      <c r="C3" s="11"/>
      <c r="D3" s="11"/>
    </row>
    <row r="4" spans="1:4" ht="18" customHeight="1" x14ac:dyDescent="0.2">
      <c r="A4" s="28" t="s">
        <v>28</v>
      </c>
      <c r="B4" s="11"/>
      <c r="C4" s="11"/>
      <c r="D4" s="11"/>
    </row>
    <row r="5" spans="1:4" ht="6" customHeight="1" x14ac:dyDescent="0.2"/>
    <row r="6" spans="1:4" ht="20" customHeight="1" x14ac:dyDescent="0.2">
      <c r="A6" s="34" t="s">
        <v>55</v>
      </c>
      <c r="B6" s="11"/>
      <c r="C6" s="11"/>
      <c r="D6" s="11"/>
    </row>
    <row r="7" spans="1:4" ht="18" customHeight="1" x14ac:dyDescent="0.2">
      <c r="A7" s="5" t="s">
        <v>56</v>
      </c>
      <c r="C7" s="39">
        <v>6</v>
      </c>
      <c r="D7" s="33"/>
    </row>
    <row r="8" spans="1:4" ht="18" customHeight="1" x14ac:dyDescent="0.2">
      <c r="A8" s="5" t="s">
        <v>57</v>
      </c>
      <c r="C8" s="38">
        <v>187</v>
      </c>
      <c r="D8" s="33"/>
    </row>
    <row r="9" spans="1:4" ht="18" customHeight="1" x14ac:dyDescent="0.2">
      <c r="A9" s="5" t="s">
        <v>67</v>
      </c>
      <c r="C9" s="35">
        <f>C33</f>
        <v>962</v>
      </c>
      <c r="D9" s="33"/>
    </row>
    <row r="10" spans="1:4" ht="18" customHeight="1" x14ac:dyDescent="0.2">
      <c r="A10" s="5" t="s">
        <v>71</v>
      </c>
      <c r="C10" s="35" cm="1">
        <f t="array" ref="C10">$C$9-SUMIF(D16:D23,"PAID",C16:C23)-SUMPRODUCT((D16:D23="HALF")*C16:C23/2)</f>
        <v>211.97000000000003</v>
      </c>
      <c r="D10" s="33"/>
    </row>
    <row r="11" spans="1:4" ht="18" customHeight="1" x14ac:dyDescent="0.2">
      <c r="A11" s="5" t="s">
        <v>68</v>
      </c>
      <c r="C11" s="35">
        <f>C9-C12</f>
        <v>-160</v>
      </c>
      <c r="D11" s="33"/>
    </row>
    <row r="12" spans="1:4" ht="18" customHeight="1" x14ac:dyDescent="0.2">
      <c r="A12" s="5" t="s">
        <v>13</v>
      </c>
      <c r="C12" s="35">
        <f>IFERROR(C7*C8,0)</f>
        <v>1122</v>
      </c>
      <c r="D12" s="33"/>
    </row>
    <row r="13" spans="1:4" ht="6" customHeight="1" x14ac:dyDescent="0.2"/>
    <row r="14" spans="1:4" ht="20" customHeight="1" x14ac:dyDescent="0.2">
      <c r="A14" s="34" t="s">
        <v>58</v>
      </c>
      <c r="B14" s="11"/>
      <c r="C14" s="11"/>
      <c r="D14" s="11"/>
    </row>
    <row r="15" spans="1:4" ht="16" customHeight="1" x14ac:dyDescent="0.2">
      <c r="A15" s="36" t="s">
        <v>18</v>
      </c>
      <c r="B15" s="33"/>
      <c r="C15" s="3" t="s">
        <v>19</v>
      </c>
      <c r="D15" s="3" t="s">
        <v>41</v>
      </c>
    </row>
    <row r="16" spans="1:4" ht="16" customHeight="1" x14ac:dyDescent="0.2">
      <c r="A16" s="20" t="s">
        <v>20</v>
      </c>
      <c r="B16" s="33"/>
      <c r="C16" s="8">
        <f>69.17*6</f>
        <v>415.02</v>
      </c>
      <c r="D16" s="6" t="s">
        <v>69</v>
      </c>
    </row>
    <row r="17" spans="1:4" ht="16" customHeight="1" x14ac:dyDescent="0.2">
      <c r="A17" s="20" t="s">
        <v>21</v>
      </c>
      <c r="B17" s="33"/>
      <c r="C17" s="8">
        <f>30*6</f>
        <v>180</v>
      </c>
      <c r="D17" s="6"/>
    </row>
    <row r="18" spans="1:4" ht="16" customHeight="1" x14ac:dyDescent="0.2">
      <c r="A18" s="20" t="s">
        <v>22</v>
      </c>
      <c r="B18" s="33"/>
      <c r="C18" s="8">
        <f>66.67*6</f>
        <v>400.02</v>
      </c>
      <c r="D18" s="6" t="s">
        <v>70</v>
      </c>
    </row>
    <row r="19" spans="1:4" ht="16" customHeight="1" x14ac:dyDescent="0.2">
      <c r="A19" s="20" t="s">
        <v>23</v>
      </c>
      <c r="B19" s="33"/>
      <c r="C19" s="8">
        <f>22.5*6</f>
        <v>135</v>
      </c>
      <c r="D19" s="6" t="s">
        <v>69</v>
      </c>
    </row>
    <row r="20" spans="1:4" ht="16" customHeight="1" x14ac:dyDescent="0.2">
      <c r="A20" s="20"/>
      <c r="B20" s="33"/>
      <c r="C20" s="8"/>
      <c r="D20" s="6"/>
    </row>
    <row r="21" spans="1:4" ht="16" customHeight="1" x14ac:dyDescent="0.2">
      <c r="A21" s="20"/>
      <c r="B21" s="33"/>
      <c r="C21" s="8"/>
      <c r="D21" s="6"/>
    </row>
    <row r="22" spans="1:4" ht="16" customHeight="1" x14ac:dyDescent="0.2">
      <c r="A22" s="20"/>
      <c r="B22" s="33"/>
      <c r="C22" s="8"/>
      <c r="D22" s="6"/>
    </row>
    <row r="23" spans="1:4" ht="16" customHeight="1" x14ac:dyDescent="0.2">
      <c r="A23" s="20"/>
      <c r="B23" s="33"/>
      <c r="C23" s="8"/>
      <c r="D23" s="6"/>
    </row>
    <row r="24" spans="1:4" ht="18" customHeight="1" x14ac:dyDescent="0.2">
      <c r="A24" s="37" t="s">
        <v>59</v>
      </c>
      <c r="B24" s="33"/>
      <c r="C24" s="9">
        <f>SUM(C16:C23)</f>
        <v>1130.04</v>
      </c>
      <c r="D24" s="10"/>
    </row>
    <row r="26" spans="1:4" ht="16" x14ac:dyDescent="0.2">
      <c r="A26" s="34" t="s">
        <v>73</v>
      </c>
      <c r="B26" s="11"/>
      <c r="C26" s="11"/>
    </row>
    <row r="27" spans="1:4" x14ac:dyDescent="0.2">
      <c r="A27" s="20" t="s">
        <v>60</v>
      </c>
      <c r="B27" s="33"/>
      <c r="C27" s="8">
        <v>109</v>
      </c>
    </row>
    <row r="28" spans="1:4" x14ac:dyDescent="0.2">
      <c r="A28" s="20" t="s">
        <v>61</v>
      </c>
      <c r="B28" s="33"/>
      <c r="C28" s="8">
        <v>149</v>
      </c>
    </row>
    <row r="29" spans="1:4" x14ac:dyDescent="0.2">
      <c r="A29" s="20" t="s">
        <v>62</v>
      </c>
      <c r="B29" s="33"/>
      <c r="C29" s="8">
        <v>149</v>
      </c>
    </row>
    <row r="30" spans="1:4" x14ac:dyDescent="0.2">
      <c r="A30" s="20" t="s">
        <v>63</v>
      </c>
      <c r="B30" s="33"/>
      <c r="C30" s="8">
        <v>187</v>
      </c>
    </row>
    <row r="31" spans="1:4" x14ac:dyDescent="0.2">
      <c r="A31" s="20" t="s">
        <v>64</v>
      </c>
      <c r="B31" s="33"/>
      <c r="C31" s="8">
        <v>181</v>
      </c>
    </row>
    <row r="32" spans="1:4" x14ac:dyDescent="0.2">
      <c r="A32" s="20" t="s">
        <v>65</v>
      </c>
      <c r="B32" s="33"/>
      <c r="C32" s="8">
        <v>187</v>
      </c>
    </row>
    <row r="33" spans="1:3" x14ac:dyDescent="0.2">
      <c r="A33" s="37" t="s">
        <v>66</v>
      </c>
      <c r="B33" s="33"/>
      <c r="C33" s="9">
        <f>SUM(C27:C32)</f>
        <v>962</v>
      </c>
    </row>
    <row r="35" spans="1:3" ht="18" customHeight="1" x14ac:dyDescent="0.2">
      <c r="A35" s="34" t="s">
        <v>72</v>
      </c>
      <c r="B35" s="11"/>
      <c r="C35" s="11"/>
    </row>
    <row r="36" spans="1:3" ht="18" customHeight="1" x14ac:dyDescent="0.2">
      <c r="A36" s="20" t="s">
        <v>60</v>
      </c>
      <c r="B36" s="33"/>
      <c r="C36" s="8">
        <f>C27-$C$8</f>
        <v>-78</v>
      </c>
    </row>
    <row r="37" spans="1:3" x14ac:dyDescent="0.2">
      <c r="A37" s="20" t="s">
        <v>61</v>
      </c>
      <c r="B37" s="33"/>
      <c r="C37" s="8">
        <f t="shared" ref="C37:C41" si="0">C28-$C$8</f>
        <v>-38</v>
      </c>
    </row>
    <row r="38" spans="1:3" x14ac:dyDescent="0.2">
      <c r="A38" s="20" t="s">
        <v>62</v>
      </c>
      <c r="B38" s="33"/>
      <c r="C38" s="8">
        <f t="shared" si="0"/>
        <v>-38</v>
      </c>
    </row>
    <row r="39" spans="1:3" x14ac:dyDescent="0.2">
      <c r="A39" s="20" t="s">
        <v>63</v>
      </c>
      <c r="B39" s="33"/>
      <c r="C39" s="8">
        <f t="shared" si="0"/>
        <v>0</v>
      </c>
    </row>
    <row r="40" spans="1:3" x14ac:dyDescent="0.2">
      <c r="A40" s="20" t="s">
        <v>64</v>
      </c>
      <c r="B40" s="33"/>
      <c r="C40" s="8">
        <f t="shared" si="0"/>
        <v>-6</v>
      </c>
    </row>
    <row r="41" spans="1:3" x14ac:dyDescent="0.2">
      <c r="A41" s="20" t="s">
        <v>65</v>
      </c>
      <c r="B41" s="33"/>
      <c r="C41" s="8">
        <f t="shared" si="0"/>
        <v>0</v>
      </c>
    </row>
    <row r="42" spans="1:3" x14ac:dyDescent="0.2">
      <c r="A42" s="37" t="s">
        <v>66</v>
      </c>
      <c r="B42" s="33"/>
      <c r="C42" s="9">
        <f>SUM(C36:C41)</f>
        <v>-160</v>
      </c>
    </row>
  </sheetData>
  <mergeCells count="37">
    <mergeCell ref="A41:B41"/>
    <mergeCell ref="A42:B42"/>
    <mergeCell ref="A35:C35"/>
    <mergeCell ref="A37:B37"/>
    <mergeCell ref="A38:B38"/>
    <mergeCell ref="A39:B39"/>
    <mergeCell ref="A40:B40"/>
    <mergeCell ref="A1:C1"/>
    <mergeCell ref="A22:B22"/>
    <mergeCell ref="A3:D3"/>
    <mergeCell ref="A16:B16"/>
    <mergeCell ref="A33:B33"/>
    <mergeCell ref="A27:B27"/>
    <mergeCell ref="A28:B28"/>
    <mergeCell ref="A29:B29"/>
    <mergeCell ref="A30:B30"/>
    <mergeCell ref="A31:B31"/>
    <mergeCell ref="A32:B32"/>
    <mergeCell ref="A26:C26"/>
    <mergeCell ref="C9:D9"/>
    <mergeCell ref="C11:D11"/>
    <mergeCell ref="C10:D10"/>
    <mergeCell ref="A36:B36"/>
    <mergeCell ref="A18:B18"/>
    <mergeCell ref="A4:D4"/>
    <mergeCell ref="A19:B19"/>
    <mergeCell ref="A14:D14"/>
    <mergeCell ref="C12:D12"/>
    <mergeCell ref="A21:B21"/>
    <mergeCell ref="A15:B15"/>
    <mergeCell ref="A24:B24"/>
    <mergeCell ref="A6:D6"/>
    <mergeCell ref="A17:B17"/>
    <mergeCell ref="A20:B20"/>
    <mergeCell ref="C8:D8"/>
    <mergeCell ref="A23:B23"/>
    <mergeCell ref="C7:D7"/>
  </mergeCells>
  <conditionalFormatting sqref="C36:C41">
    <cfRule type="iconSet" priority="1">
      <iconSet iconSet="3Arrows">
        <cfvo type="percent" val="0"/>
        <cfvo type="num" val="0"/>
        <cfvo type="num" val="1"/>
      </iconSet>
    </cfRule>
  </conditionalFormatting>
  <hyperlinks>
    <hyperlink ref="A1" location="'Dashboard'!A1" display="← Dashboard" xr:uid="{00000000-0004-0000-0300-000000000000}"/>
  </hyperlinks>
  <pageMargins left="0.7" right="0.7" top="0.75" bottom="0.75" header="0.3" footer="0.3"/>
  <headerFooter>
    <oddFooter>&amp;C&amp;"Aptos"&amp;10 &amp;K008000_x000D_# General Use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5464B11-8935-684C-85A3-C0FE627F0C0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C11:D11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Tentative</vt:lpstr>
      <vt:lpstr>Logistic</vt:lpstr>
      <vt:lpstr>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Fauzan Bin Abu Aini</dc:creator>
  <cp:lastModifiedBy>Ahmad Fauzan Bin Abu Aini</cp:lastModifiedBy>
  <dcterms:created xsi:type="dcterms:W3CDTF">2026-08-04T09:27:25Z</dcterms:created>
  <dcterms:modified xsi:type="dcterms:W3CDTF">2026-08-04T10:25:48Z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6156b0-9256-4a00-b8aa-1541d1f746e8_Enabled">
    <vt:lpwstr>true</vt:lpwstr>
  </property>
  <property fmtid="{D5CDD505-2E9C-101B-9397-08002B2CF9AE}" pid="3" name="MSIP_Label_b26156b0-9256-4a00-b8aa-1541d1f746e8_SetDate">
    <vt:lpwstr>2026-08-04T09:29:03Z</vt:lpwstr>
  </property>
  <property fmtid="{D5CDD505-2E9C-101B-9397-08002B2CF9AE}" pid="4" name="MSIP_Label_b26156b0-9256-4a00-b8aa-1541d1f746e8_Method">
    <vt:lpwstr>Standard</vt:lpwstr>
  </property>
  <property fmtid="{D5CDD505-2E9C-101B-9397-08002B2CF9AE}" pid="5" name="MSIP_Label_b26156b0-9256-4a00-b8aa-1541d1f746e8_Name">
    <vt:lpwstr>General Use</vt:lpwstr>
  </property>
  <property fmtid="{D5CDD505-2E9C-101B-9397-08002B2CF9AE}" pid="6" name="MSIP_Label_b26156b0-9256-4a00-b8aa-1541d1f746e8_SiteId">
    <vt:lpwstr>d2efeacf-5b67-4965-bea8-984ad94db574</vt:lpwstr>
  </property>
  <property fmtid="{D5CDD505-2E9C-101B-9397-08002B2CF9AE}" pid="7" name="MSIP_Label_b26156b0-9256-4a00-b8aa-1541d1f746e8_ActionId">
    <vt:lpwstr>bf1d2a35-5357-4c67-a326-884c370dc3cf</vt:lpwstr>
  </property>
  <property fmtid="{D5CDD505-2E9C-101B-9397-08002B2CF9AE}" pid="8" name="MSIP_Label_b26156b0-9256-4a00-b8aa-1541d1f746e8_ContentBits">
    <vt:lpwstr>2</vt:lpwstr>
  </property>
  <property fmtid="{D5CDD505-2E9C-101B-9397-08002B2CF9AE}" pid="9" name="MSIP_Label_b26156b0-9256-4a00-b8aa-1541d1f746e8_Tag">
    <vt:lpwstr>50, 3, 0, 1</vt:lpwstr>
  </property>
</Properties>
</file>